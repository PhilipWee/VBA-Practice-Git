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ilip\Documents\VBA Practice\"/>
    </mc:Choice>
  </mc:AlternateContent>
  <xr:revisionPtr revIDLastSave="0" documentId="13_ncr:1_{75CC6EBB-546C-4FA4-B004-15684E4F96FD}" xr6:coauthVersionLast="36" xr6:coauthVersionMax="36" xr10:uidLastSave="{00000000-0000-0000-0000-000000000000}"/>
  <bookViews>
    <workbookView xWindow="0" yWindow="0" windowWidth="19200" windowHeight="7520" activeTab="1" xr2:uid="{83CEB9B7-FB67-4802-B4CC-8E9B18CFF789}"/>
  </bookViews>
  <sheets>
    <sheet name="Sheet1" sheetId="1" r:id="rId1"/>
    <sheet name="Sheet2" sheetId="2" r:id="rId2"/>
  </sheets>
  <functionGroups builtInGroupCount="19"/>
  <definedNames>
    <definedName name="solver_adj" localSheetId="0" hidden="1">Sheet1!$J$70:$O$75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Sheet1!$C$78:$C$83</definedName>
    <definedName name="solver_lhs2" localSheetId="0" hidden="1">Sheet1!$K$63</definedName>
    <definedName name="solver_lhs3" localSheetId="0" hidden="1">Sheet1!$K$63</definedName>
    <definedName name="solver_lhs4" localSheetId="0" hidden="1">Sheet1!$K$30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Sheet1!$C$66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hs1" localSheetId="0" hidden="1">Sheet1!$E$78:$E$83</definedName>
    <definedName name="solver_rhs2" localSheetId="0" hidden="1">Sheet1!$M$63</definedName>
    <definedName name="solver_rhs3" localSheetId="0" hidden="1">Sheet1!$M$63</definedName>
    <definedName name="solver_rhs4" localSheetId="0" hidden="1">Sheet1!$E$41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98" i="2" l="1" a="1"/>
  <c r="O98" i="2" s="1"/>
  <c r="O92" i="2" a="1"/>
  <c r="R95" i="2" s="1"/>
  <c r="R101" i="2" l="1"/>
  <c r="R99" i="2"/>
  <c r="P100" i="2"/>
  <c r="Q101" i="2"/>
  <c r="Q99" i="2"/>
  <c r="P101" i="2"/>
  <c r="P99" i="2"/>
  <c r="O101" i="2"/>
  <c r="O99" i="2"/>
  <c r="R100" i="2"/>
  <c r="R98" i="2"/>
  <c r="Q100" i="2"/>
  <c r="Q98" i="2"/>
  <c r="P98" i="2"/>
  <c r="O100" i="2"/>
  <c r="R93" i="2"/>
  <c r="O94" i="2"/>
  <c r="Q95" i="2"/>
  <c r="Q93" i="2"/>
  <c r="P95" i="2"/>
  <c r="P93" i="2"/>
  <c r="O95" i="2"/>
  <c r="O93" i="2"/>
  <c r="R94" i="2"/>
  <c r="R92" i="2"/>
  <c r="Q94" i="2"/>
  <c r="Q92" i="2"/>
  <c r="P92" i="2"/>
  <c r="O92" i="2"/>
  <c r="P94" i="2"/>
  <c r="J97" i="1" a="1"/>
  <c r="J97" i="1" s="1"/>
  <c r="C87" i="1"/>
  <c r="J101" i="1" l="1"/>
  <c r="J99" i="1"/>
  <c r="J98" i="1"/>
  <c r="J102" i="1"/>
  <c r="J100" i="1"/>
  <c r="C78" i="1"/>
  <c r="C83" i="1"/>
  <c r="C82" i="1"/>
  <c r="C66" i="1"/>
  <c r="C81" i="1"/>
  <c r="C80" i="1"/>
  <c r="C79" i="1"/>
  <c r="K63" i="1"/>
  <c r="K62" i="1"/>
  <c r="K61" i="1"/>
  <c r="K60" i="1"/>
  <c r="K59" i="1"/>
  <c r="K58" i="1"/>
  <c r="K57" i="1"/>
  <c r="K56" i="1"/>
  <c r="K55" i="1"/>
  <c r="C44" i="1"/>
  <c r="C41" i="1"/>
  <c r="C40" i="1"/>
  <c r="C39" i="1"/>
  <c r="C38" i="1"/>
  <c r="C37" i="1"/>
  <c r="C36" i="1"/>
  <c r="C35" i="1"/>
  <c r="C34" i="1"/>
  <c r="C25" i="1"/>
  <c r="M16" i="1" a="1"/>
  <c r="M18" i="1" s="1"/>
  <c r="B1" i="1"/>
  <c r="B85" i="1"/>
  <c r="M17" i="1" l="1"/>
  <c r="M16" i="1"/>
  <c r="M22" i="1"/>
  <c r="M21" i="1"/>
  <c r="M20" i="1"/>
  <c r="M19" i="1"/>
</calcChain>
</file>

<file path=xl/sharedStrings.xml><?xml version="1.0" encoding="utf-8"?>
<sst xmlns="http://schemas.openxmlformats.org/spreadsheetml/2006/main" count="104" uniqueCount="53">
  <si>
    <t>decision variables</t>
  </si>
  <si>
    <t>x11</t>
  </si>
  <si>
    <t>x12</t>
  </si>
  <si>
    <t>x31</t>
  </si>
  <si>
    <t>x32</t>
  </si>
  <si>
    <t>x33</t>
  </si>
  <si>
    <t>x21</t>
  </si>
  <si>
    <t>x22</t>
  </si>
  <si>
    <t>x41</t>
  </si>
  <si>
    <t>x42</t>
  </si>
  <si>
    <t>x43</t>
  </si>
  <si>
    <t>weight</t>
  </si>
  <si>
    <t>objectice</t>
  </si>
  <si>
    <t>minimize that shit</t>
  </si>
  <si>
    <t>A</t>
  </si>
  <si>
    <t>Ax</t>
  </si>
  <si>
    <t>b</t>
  </si>
  <si>
    <t>do not exceed the deman</t>
  </si>
  <si>
    <t>=</t>
  </si>
  <si>
    <t>&lt;=</t>
  </si>
  <si>
    <t>Do not exceed the supply</t>
  </si>
  <si>
    <t>Objective func</t>
  </si>
  <si>
    <t>factory\product</t>
  </si>
  <si>
    <t>cost</t>
  </si>
  <si>
    <t>Decision Variables</t>
  </si>
  <si>
    <t>Get rqd amt</t>
  </si>
  <si>
    <t>&gt;=</t>
  </si>
  <si>
    <t>supply rqd amt</t>
  </si>
  <si>
    <t>factory 2 don’t supply 3</t>
  </si>
  <si>
    <t>Objective funct</t>
  </si>
  <si>
    <t>1a</t>
  </si>
  <si>
    <t>1b</t>
  </si>
  <si>
    <t>num to produce</t>
  </si>
  <si>
    <t>2cant produce 3</t>
  </si>
  <si>
    <t>at least one supplier</t>
  </si>
  <si>
    <t>max only one producer</t>
  </si>
  <si>
    <t>constraint</t>
  </si>
  <si>
    <t>node 2</t>
  </si>
  <si>
    <t>node 3</t>
  </si>
  <si>
    <t>node 4</t>
  </si>
  <si>
    <t>node 5</t>
  </si>
  <si>
    <t>reach 6</t>
  </si>
  <si>
    <t>start 1</t>
  </si>
  <si>
    <t>Objective Function</t>
  </si>
  <si>
    <t>x1</t>
  </si>
  <si>
    <t>x2</t>
  </si>
  <si>
    <t>x3</t>
  </si>
  <si>
    <t>x4</t>
  </si>
  <si>
    <t>x5</t>
  </si>
  <si>
    <t>x6</t>
  </si>
  <si>
    <t>x7</t>
  </si>
  <si>
    <t>x8</t>
  </si>
  <si>
    <t>Conditions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</si>
</sst>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0" xfId="0" applyBorder="1" applyAlignment="1">
      <alignment horizontal="center" vertical="center" textRotation="90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B300A-8716-4AA4-BC0F-BD7417035812}">
  <sheetPr codeName="Sheet1"/>
  <dimension ref="A1:P105"/>
  <sheetViews>
    <sheetView topLeftCell="A85" workbookViewId="0">
      <selection activeCell="K87" sqref="K87"/>
    </sheetView>
  </sheetViews>
  <sheetFormatPr defaultRowHeight="14.5" x14ac:dyDescent="0.35"/>
  <sheetData>
    <row r="1" spans="1:16" x14ac:dyDescent="0.35">
      <c r="A1" t="s">
        <v>12</v>
      </c>
      <c r="B1">
        <f>SUMPRODUCT(C2:C13,E2:E13)</f>
        <v>1010</v>
      </c>
      <c r="C1" t="s">
        <v>11</v>
      </c>
      <c r="D1" t="s">
        <v>0</v>
      </c>
    </row>
    <row r="2" spans="1:16" x14ac:dyDescent="0.35">
      <c r="A2" t="s">
        <v>13</v>
      </c>
      <c r="C2">
        <v>8</v>
      </c>
      <c r="D2" t="s">
        <v>1</v>
      </c>
      <c r="E2">
        <v>0</v>
      </c>
    </row>
    <row r="3" spans="1:16" x14ac:dyDescent="0.35">
      <c r="C3">
        <v>9</v>
      </c>
      <c r="D3" t="s">
        <v>6</v>
      </c>
      <c r="E3">
        <v>45</v>
      </c>
    </row>
    <row r="4" spans="1:16" x14ac:dyDescent="0.35">
      <c r="C4">
        <v>14</v>
      </c>
      <c r="D4" t="s">
        <v>3</v>
      </c>
      <c r="E4">
        <v>0</v>
      </c>
    </row>
    <row r="5" spans="1:16" x14ac:dyDescent="0.35">
      <c r="C5">
        <v>6</v>
      </c>
      <c r="D5" t="s">
        <v>2</v>
      </c>
      <c r="E5">
        <v>0</v>
      </c>
    </row>
    <row r="6" spans="1:16" x14ac:dyDescent="0.35">
      <c r="C6">
        <v>12</v>
      </c>
      <c r="D6" t="s">
        <v>7</v>
      </c>
      <c r="E6">
        <v>0</v>
      </c>
    </row>
    <row r="7" spans="1:16" x14ac:dyDescent="0.35">
      <c r="C7">
        <v>9</v>
      </c>
      <c r="D7" t="s">
        <v>4</v>
      </c>
      <c r="E7">
        <v>20</v>
      </c>
    </row>
    <row r="8" spans="1:16" x14ac:dyDescent="0.35">
      <c r="C8">
        <v>10</v>
      </c>
      <c r="D8" t="s">
        <v>3</v>
      </c>
      <c r="E8">
        <v>25</v>
      </c>
    </row>
    <row r="9" spans="1:16" x14ac:dyDescent="0.35">
      <c r="C9">
        <v>13</v>
      </c>
      <c r="D9" t="s">
        <v>4</v>
      </c>
      <c r="E9">
        <v>5</v>
      </c>
    </row>
    <row r="10" spans="1:16" x14ac:dyDescent="0.35">
      <c r="C10">
        <v>16</v>
      </c>
      <c r="D10" t="s">
        <v>5</v>
      </c>
      <c r="E10">
        <v>0</v>
      </c>
    </row>
    <row r="11" spans="1:16" x14ac:dyDescent="0.35">
      <c r="C11">
        <v>1</v>
      </c>
      <c r="D11" t="s">
        <v>8</v>
      </c>
      <c r="E11">
        <v>10</v>
      </c>
    </row>
    <row r="12" spans="1:16" x14ac:dyDescent="0.35">
      <c r="C12">
        <v>7</v>
      </c>
      <c r="D12" t="s">
        <v>9</v>
      </c>
      <c r="E12">
        <v>0</v>
      </c>
    </row>
    <row r="13" spans="1:16" x14ac:dyDescent="0.35">
      <c r="C13">
        <v>5</v>
      </c>
      <c r="D13" t="s">
        <v>10</v>
      </c>
      <c r="E13">
        <v>20</v>
      </c>
    </row>
    <row r="15" spans="1:16" x14ac:dyDescent="0.35">
      <c r="A15" s="25" t="s">
        <v>14</v>
      </c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t="s">
        <v>15</v>
      </c>
      <c r="O15" t="s">
        <v>16</v>
      </c>
    </row>
    <row r="16" spans="1:16" x14ac:dyDescent="0.35">
      <c r="A16">
        <v>1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f t="array" ref="M16:M22">MMULT(A16:L22,E2:E13)</f>
        <v>45</v>
      </c>
      <c r="N16" s="1" t="s">
        <v>18</v>
      </c>
      <c r="O16">
        <v>45</v>
      </c>
      <c r="P16" s="24" t="s">
        <v>17</v>
      </c>
    </row>
    <row r="17" spans="1:16" x14ac:dyDescent="0.35">
      <c r="A17">
        <v>0</v>
      </c>
      <c r="B17">
        <v>0</v>
      </c>
      <c r="C17">
        <v>0</v>
      </c>
      <c r="D17">
        <v>1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20</v>
      </c>
      <c r="N17" s="1" t="s">
        <v>18</v>
      </c>
      <c r="O17">
        <v>20</v>
      </c>
      <c r="P17" s="24"/>
    </row>
    <row r="18" spans="1:16" x14ac:dyDescent="0.3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1</v>
      </c>
      <c r="H18">
        <v>1</v>
      </c>
      <c r="I18">
        <v>1</v>
      </c>
      <c r="J18">
        <v>0</v>
      </c>
      <c r="K18">
        <v>0</v>
      </c>
      <c r="L18">
        <v>0</v>
      </c>
      <c r="M18">
        <v>30</v>
      </c>
      <c r="N18" s="1" t="s">
        <v>18</v>
      </c>
      <c r="O18">
        <v>30</v>
      </c>
      <c r="P18" s="24"/>
    </row>
    <row r="19" spans="1:16" x14ac:dyDescent="0.3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1</v>
      </c>
      <c r="K19">
        <v>1</v>
      </c>
      <c r="L19">
        <v>1</v>
      </c>
      <c r="M19">
        <v>30</v>
      </c>
      <c r="N19" s="1" t="s">
        <v>18</v>
      </c>
      <c r="O19">
        <v>30</v>
      </c>
      <c r="P19" s="24"/>
    </row>
    <row r="20" spans="1:16" x14ac:dyDescent="0.35">
      <c r="A20">
        <v>1</v>
      </c>
      <c r="B20">
        <v>0</v>
      </c>
      <c r="C20">
        <v>0</v>
      </c>
      <c r="D20">
        <v>1</v>
      </c>
      <c r="E20">
        <v>0</v>
      </c>
      <c r="F20">
        <v>0</v>
      </c>
      <c r="G20">
        <v>1</v>
      </c>
      <c r="H20">
        <v>0</v>
      </c>
      <c r="I20">
        <v>0</v>
      </c>
      <c r="J20">
        <v>1</v>
      </c>
      <c r="K20">
        <v>0</v>
      </c>
      <c r="L20">
        <v>0</v>
      </c>
      <c r="M20">
        <v>35</v>
      </c>
      <c r="N20" t="s">
        <v>19</v>
      </c>
      <c r="O20">
        <v>35</v>
      </c>
      <c r="P20" s="24" t="s">
        <v>20</v>
      </c>
    </row>
    <row r="21" spans="1:16" x14ac:dyDescent="0.35">
      <c r="A21">
        <v>0</v>
      </c>
      <c r="B21">
        <v>1</v>
      </c>
      <c r="C21">
        <v>0</v>
      </c>
      <c r="D21">
        <v>0</v>
      </c>
      <c r="E21">
        <v>1</v>
      </c>
      <c r="F21">
        <v>0</v>
      </c>
      <c r="G21">
        <v>0</v>
      </c>
      <c r="H21">
        <v>1</v>
      </c>
      <c r="I21">
        <v>0</v>
      </c>
      <c r="J21">
        <v>0</v>
      </c>
      <c r="K21">
        <v>1</v>
      </c>
      <c r="L21">
        <v>0</v>
      </c>
      <c r="M21">
        <v>50</v>
      </c>
      <c r="N21" t="s">
        <v>19</v>
      </c>
      <c r="O21">
        <v>50</v>
      </c>
      <c r="P21" s="24"/>
    </row>
    <row r="22" spans="1:16" x14ac:dyDescent="0.35">
      <c r="A22">
        <v>0</v>
      </c>
      <c r="B22">
        <v>0</v>
      </c>
      <c r="C22">
        <v>1</v>
      </c>
      <c r="D22">
        <v>0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40</v>
      </c>
      <c r="N22" t="s">
        <v>19</v>
      </c>
      <c r="O22">
        <v>40</v>
      </c>
      <c r="P22" s="24"/>
    </row>
    <row r="25" spans="1:16" x14ac:dyDescent="0.35">
      <c r="A25" t="s">
        <v>21</v>
      </c>
      <c r="C25">
        <f>SUMPRODUCT(C29:F31,I29:L31)</f>
        <v>3260</v>
      </c>
    </row>
    <row r="27" spans="1:16" x14ac:dyDescent="0.35">
      <c r="B27" s="25" t="s">
        <v>23</v>
      </c>
      <c r="C27" s="25"/>
      <c r="D27" s="25"/>
      <c r="E27" s="25"/>
      <c r="F27" s="25"/>
      <c r="H27" s="25" t="s">
        <v>24</v>
      </c>
      <c r="I27" s="25"/>
      <c r="J27" s="25"/>
      <c r="K27" s="25"/>
      <c r="L27" s="25"/>
    </row>
    <row r="28" spans="1:16" x14ac:dyDescent="0.35">
      <c r="B28" t="s">
        <v>22</v>
      </c>
      <c r="C28">
        <v>1</v>
      </c>
      <c r="D28">
        <v>2</v>
      </c>
      <c r="E28">
        <v>3</v>
      </c>
      <c r="F28">
        <v>4</v>
      </c>
      <c r="H28" t="s">
        <v>22</v>
      </c>
      <c r="I28">
        <v>1</v>
      </c>
      <c r="J28">
        <v>2</v>
      </c>
      <c r="K28">
        <v>3</v>
      </c>
      <c r="L28">
        <v>4</v>
      </c>
    </row>
    <row r="29" spans="1:16" x14ac:dyDescent="0.35">
      <c r="B29">
        <v>1</v>
      </c>
      <c r="C29">
        <v>41</v>
      </c>
      <c r="D29">
        <v>27</v>
      </c>
      <c r="E29">
        <v>28</v>
      </c>
      <c r="F29">
        <v>24</v>
      </c>
      <c r="H29">
        <v>1</v>
      </c>
      <c r="I29">
        <v>0</v>
      </c>
      <c r="J29">
        <v>30</v>
      </c>
      <c r="K29">
        <v>30</v>
      </c>
      <c r="L29">
        <v>0</v>
      </c>
      <c r="M29">
        <v>75</v>
      </c>
    </row>
    <row r="30" spans="1:16" x14ac:dyDescent="0.35">
      <c r="B30">
        <v>2</v>
      </c>
      <c r="C30">
        <v>40</v>
      </c>
      <c r="D30">
        <v>29</v>
      </c>
      <c r="E30" s="1">
        <v>0</v>
      </c>
      <c r="F30">
        <v>23</v>
      </c>
      <c r="H30">
        <v>2</v>
      </c>
      <c r="I30">
        <v>0</v>
      </c>
      <c r="J30">
        <v>0</v>
      </c>
      <c r="K30">
        <v>0</v>
      </c>
      <c r="L30">
        <v>15</v>
      </c>
      <c r="M30">
        <v>45</v>
      </c>
    </row>
    <row r="31" spans="1:16" x14ac:dyDescent="0.35">
      <c r="B31">
        <v>3</v>
      </c>
      <c r="C31">
        <v>37</v>
      </c>
      <c r="D31">
        <v>30</v>
      </c>
      <c r="E31">
        <v>27</v>
      </c>
      <c r="F31">
        <v>21</v>
      </c>
      <c r="H31">
        <v>3</v>
      </c>
      <c r="I31">
        <v>20</v>
      </c>
      <c r="J31">
        <v>0</v>
      </c>
      <c r="K31">
        <v>0</v>
      </c>
      <c r="L31">
        <v>25</v>
      </c>
      <c r="M31">
        <v>45</v>
      </c>
    </row>
    <row r="32" spans="1:16" x14ac:dyDescent="0.35">
      <c r="I32">
        <v>20</v>
      </c>
      <c r="J32">
        <v>30</v>
      </c>
      <c r="K32">
        <v>30</v>
      </c>
      <c r="L32">
        <v>40</v>
      </c>
    </row>
    <row r="34" spans="1:15" x14ac:dyDescent="0.35">
      <c r="B34" s="24" t="s">
        <v>25</v>
      </c>
      <c r="C34">
        <f>SUM(I29:I31)</f>
        <v>20</v>
      </c>
      <c r="D34" t="s">
        <v>26</v>
      </c>
      <c r="E34">
        <v>20</v>
      </c>
    </row>
    <row r="35" spans="1:15" x14ac:dyDescent="0.35">
      <c r="B35" s="24"/>
      <c r="C35">
        <f>SUM(J29:J31)</f>
        <v>30</v>
      </c>
      <c r="D35" t="s">
        <v>26</v>
      </c>
      <c r="E35">
        <v>30</v>
      </c>
    </row>
    <row r="36" spans="1:15" x14ac:dyDescent="0.35">
      <c r="B36" s="24"/>
      <c r="C36">
        <f>SUM(K29:K31)</f>
        <v>30</v>
      </c>
      <c r="D36" t="s">
        <v>26</v>
      </c>
      <c r="E36">
        <v>30</v>
      </c>
    </row>
    <row r="37" spans="1:15" x14ac:dyDescent="0.35">
      <c r="B37" s="24"/>
      <c r="C37">
        <f>SUM(L29:L31)</f>
        <v>40</v>
      </c>
      <c r="D37" t="s">
        <v>26</v>
      </c>
      <c r="E37">
        <v>40</v>
      </c>
    </row>
    <row r="38" spans="1:15" x14ac:dyDescent="0.35">
      <c r="B38" s="24" t="s">
        <v>27</v>
      </c>
      <c r="C38">
        <f>SUM(I29:L29)</f>
        <v>60</v>
      </c>
      <c r="D38" t="s">
        <v>19</v>
      </c>
      <c r="E38">
        <v>75</v>
      </c>
    </row>
    <row r="39" spans="1:15" x14ac:dyDescent="0.35">
      <c r="B39" s="24"/>
      <c r="C39">
        <f>SUM(I30:L30)</f>
        <v>15</v>
      </c>
      <c r="D39" t="s">
        <v>19</v>
      </c>
      <c r="E39">
        <v>45</v>
      </c>
    </row>
    <row r="40" spans="1:15" x14ac:dyDescent="0.35">
      <c r="B40" s="24"/>
      <c r="C40">
        <f>SUM(I31:L31)</f>
        <v>45</v>
      </c>
      <c r="D40" t="s">
        <v>19</v>
      </c>
      <c r="E40">
        <v>45</v>
      </c>
    </row>
    <row r="41" spans="1:15" x14ac:dyDescent="0.35">
      <c r="B41" t="s">
        <v>28</v>
      </c>
      <c r="C41">
        <f>K30</f>
        <v>0</v>
      </c>
      <c r="D41" s="1" t="s">
        <v>18</v>
      </c>
      <c r="E41">
        <v>0</v>
      </c>
    </row>
    <row r="44" spans="1:15" x14ac:dyDescent="0.35">
      <c r="A44" t="s">
        <v>29</v>
      </c>
      <c r="C44">
        <f>SUMPRODUCT(D48:G51,D53:G56,K48:N51)</f>
        <v>3290</v>
      </c>
    </row>
    <row r="46" spans="1:15" x14ac:dyDescent="0.35">
      <c r="C46" s="25" t="s">
        <v>23</v>
      </c>
      <c r="D46" s="25"/>
      <c r="E46" s="25"/>
      <c r="F46" s="25"/>
      <c r="G46" s="25"/>
      <c r="J46" s="25" t="s">
        <v>24</v>
      </c>
      <c r="K46" s="25"/>
      <c r="L46" s="25"/>
      <c r="M46" s="25"/>
      <c r="N46" s="25"/>
    </row>
    <row r="47" spans="1:15" x14ac:dyDescent="0.35">
      <c r="C47" t="s">
        <v>22</v>
      </c>
      <c r="D47">
        <v>1</v>
      </c>
      <c r="E47">
        <v>2</v>
      </c>
      <c r="F47">
        <v>3</v>
      </c>
      <c r="G47">
        <v>4</v>
      </c>
      <c r="J47" t="s">
        <v>22</v>
      </c>
      <c r="K47">
        <v>1</v>
      </c>
      <c r="L47">
        <v>2</v>
      </c>
      <c r="M47">
        <v>3</v>
      </c>
      <c r="N47">
        <v>4</v>
      </c>
    </row>
    <row r="48" spans="1:15" x14ac:dyDescent="0.35">
      <c r="C48" t="s">
        <v>30</v>
      </c>
      <c r="D48">
        <v>41</v>
      </c>
      <c r="E48">
        <v>27</v>
      </c>
      <c r="F48">
        <v>28</v>
      </c>
      <c r="G48">
        <v>24</v>
      </c>
      <c r="J48" t="s">
        <v>30</v>
      </c>
      <c r="K48">
        <v>0</v>
      </c>
      <c r="L48">
        <v>0</v>
      </c>
      <c r="M48">
        <v>1</v>
      </c>
      <c r="N48">
        <v>0</v>
      </c>
      <c r="O48">
        <v>75</v>
      </c>
    </row>
    <row r="49" spans="3:15" x14ac:dyDescent="0.35">
      <c r="C49" t="s">
        <v>31</v>
      </c>
      <c r="D49">
        <v>41</v>
      </c>
      <c r="E49">
        <v>27</v>
      </c>
      <c r="F49">
        <v>28</v>
      </c>
      <c r="G49">
        <v>24</v>
      </c>
      <c r="J49" t="s">
        <v>31</v>
      </c>
      <c r="K49">
        <v>0</v>
      </c>
      <c r="L49">
        <v>1</v>
      </c>
      <c r="M49">
        <v>0</v>
      </c>
      <c r="N49">
        <v>0</v>
      </c>
      <c r="O49">
        <v>75</v>
      </c>
    </row>
    <row r="50" spans="3:15" x14ac:dyDescent="0.35">
      <c r="C50">
        <v>2</v>
      </c>
      <c r="D50">
        <v>40</v>
      </c>
      <c r="E50">
        <v>29</v>
      </c>
      <c r="F50" s="1">
        <v>0</v>
      </c>
      <c r="G50">
        <v>23</v>
      </c>
      <c r="J50">
        <v>2</v>
      </c>
      <c r="K50">
        <v>1</v>
      </c>
      <c r="L50">
        <v>0</v>
      </c>
      <c r="M50">
        <v>0</v>
      </c>
      <c r="N50">
        <v>0</v>
      </c>
      <c r="O50">
        <v>45</v>
      </c>
    </row>
    <row r="51" spans="3:15" x14ac:dyDescent="0.35">
      <c r="C51">
        <v>3</v>
      </c>
      <c r="D51">
        <v>37</v>
      </c>
      <c r="E51">
        <v>30</v>
      </c>
      <c r="F51">
        <v>27</v>
      </c>
      <c r="G51">
        <v>21</v>
      </c>
      <c r="J51">
        <v>3</v>
      </c>
      <c r="K51">
        <v>0</v>
      </c>
      <c r="L51">
        <v>0</v>
      </c>
      <c r="M51">
        <v>0</v>
      </c>
      <c r="N51">
        <v>1</v>
      </c>
      <c r="O51">
        <v>45</v>
      </c>
    </row>
    <row r="52" spans="3:15" x14ac:dyDescent="0.35">
      <c r="C52" s="25" t="s">
        <v>32</v>
      </c>
      <c r="D52" s="25"/>
      <c r="E52" s="25"/>
      <c r="F52" s="25"/>
      <c r="G52" s="25"/>
      <c r="K52">
        <v>20</v>
      </c>
      <c r="L52">
        <v>30</v>
      </c>
      <c r="M52">
        <v>30</v>
      </c>
      <c r="N52">
        <v>40</v>
      </c>
    </row>
    <row r="53" spans="3:15" x14ac:dyDescent="0.35">
      <c r="D53">
        <v>20</v>
      </c>
      <c r="E53">
        <v>30</v>
      </c>
      <c r="F53">
        <v>30</v>
      </c>
      <c r="G53">
        <v>40</v>
      </c>
    </row>
    <row r="54" spans="3:15" x14ac:dyDescent="0.35">
      <c r="D54">
        <v>20</v>
      </c>
      <c r="E54">
        <v>30</v>
      </c>
      <c r="F54">
        <v>30</v>
      </c>
      <c r="G54">
        <v>40</v>
      </c>
    </row>
    <row r="55" spans="3:15" x14ac:dyDescent="0.35">
      <c r="D55">
        <v>20</v>
      </c>
      <c r="E55">
        <v>30</v>
      </c>
      <c r="F55">
        <v>30</v>
      </c>
      <c r="G55">
        <v>40</v>
      </c>
      <c r="J55" s="24" t="s">
        <v>35</v>
      </c>
      <c r="K55">
        <f>SUM(K48:K51)</f>
        <v>1</v>
      </c>
      <c r="L55" t="s">
        <v>19</v>
      </c>
      <c r="M55">
        <v>1</v>
      </c>
    </row>
    <row r="56" spans="3:15" x14ac:dyDescent="0.35">
      <c r="D56">
        <v>20</v>
      </c>
      <c r="E56">
        <v>30</v>
      </c>
      <c r="F56">
        <v>30</v>
      </c>
      <c r="G56">
        <v>40</v>
      </c>
      <c r="J56" s="24"/>
      <c r="K56">
        <f>SUM(L48:L51)</f>
        <v>1</v>
      </c>
      <c r="L56" t="s">
        <v>19</v>
      </c>
      <c r="M56">
        <v>1</v>
      </c>
    </row>
    <row r="57" spans="3:15" x14ac:dyDescent="0.35">
      <c r="J57" s="24"/>
      <c r="K57">
        <f>SUM(M48:M51)</f>
        <v>1</v>
      </c>
      <c r="L57" t="s">
        <v>19</v>
      </c>
      <c r="M57">
        <v>1</v>
      </c>
    </row>
    <row r="58" spans="3:15" x14ac:dyDescent="0.35">
      <c r="J58" s="24"/>
      <c r="K58">
        <f>SUM(N48:N51)</f>
        <v>1</v>
      </c>
      <c r="L58" t="s">
        <v>19</v>
      </c>
      <c r="M58">
        <v>1</v>
      </c>
    </row>
    <row r="59" spans="3:15" x14ac:dyDescent="0.35">
      <c r="J59" s="24" t="s">
        <v>34</v>
      </c>
      <c r="K59">
        <f>SUM(K48:N48)</f>
        <v>1</v>
      </c>
      <c r="L59" t="s">
        <v>26</v>
      </c>
      <c r="M59">
        <v>1</v>
      </c>
    </row>
    <row r="60" spans="3:15" x14ac:dyDescent="0.35">
      <c r="J60" s="24"/>
      <c r="K60">
        <f>SUM(K49:N49)</f>
        <v>1</v>
      </c>
      <c r="L60" t="s">
        <v>26</v>
      </c>
      <c r="M60">
        <v>1</v>
      </c>
    </row>
    <row r="61" spans="3:15" x14ac:dyDescent="0.35">
      <c r="J61" s="24"/>
      <c r="K61">
        <f>SUM(K50:N50)</f>
        <v>1</v>
      </c>
      <c r="L61" t="s">
        <v>26</v>
      </c>
      <c r="M61">
        <v>1</v>
      </c>
    </row>
    <row r="62" spans="3:15" x14ac:dyDescent="0.35">
      <c r="J62" s="24"/>
      <c r="K62">
        <f>SUM(K51:N51)</f>
        <v>1</v>
      </c>
      <c r="L62" t="s">
        <v>26</v>
      </c>
      <c r="M62">
        <v>1</v>
      </c>
    </row>
    <row r="63" spans="3:15" x14ac:dyDescent="0.35">
      <c r="J63" t="s">
        <v>33</v>
      </c>
      <c r="K63">
        <f>M50</f>
        <v>0</v>
      </c>
      <c r="L63" s="1" t="s">
        <v>18</v>
      </c>
      <c r="M63">
        <v>0</v>
      </c>
    </row>
    <row r="66" spans="1:15" x14ac:dyDescent="0.35">
      <c r="A66" t="s">
        <v>21</v>
      </c>
      <c r="C66">
        <f>SUMPRODUCT(B70:G75,J70:O75)</f>
        <v>40</v>
      </c>
    </row>
    <row r="68" spans="1:15" x14ac:dyDescent="0.35">
      <c r="B68" s="25" t="s">
        <v>23</v>
      </c>
      <c r="C68" s="25"/>
      <c r="D68" s="25"/>
      <c r="E68" s="25"/>
      <c r="F68" s="25"/>
      <c r="G68" s="25"/>
      <c r="J68" s="25" t="s">
        <v>24</v>
      </c>
      <c r="K68" s="25"/>
      <c r="L68" s="25"/>
      <c r="M68" s="25"/>
      <c r="N68" s="25"/>
      <c r="O68" s="25"/>
    </row>
    <row r="69" spans="1:15" x14ac:dyDescent="0.35">
      <c r="B69">
        <v>1</v>
      </c>
      <c r="C69">
        <v>2</v>
      </c>
      <c r="D69">
        <v>3</v>
      </c>
      <c r="E69">
        <v>4</v>
      </c>
      <c r="F69">
        <v>5</v>
      </c>
      <c r="G69">
        <v>6</v>
      </c>
      <c r="J69">
        <v>1</v>
      </c>
      <c r="K69">
        <v>2</v>
      </c>
      <c r="L69">
        <v>3</v>
      </c>
      <c r="M69">
        <v>4</v>
      </c>
      <c r="N69">
        <v>5</v>
      </c>
      <c r="O69">
        <v>6</v>
      </c>
    </row>
    <row r="70" spans="1:15" x14ac:dyDescent="0.35">
      <c r="A70">
        <v>1</v>
      </c>
      <c r="B70">
        <v>1000</v>
      </c>
      <c r="C70">
        <v>14</v>
      </c>
      <c r="D70">
        <v>20</v>
      </c>
      <c r="E70">
        <v>1000</v>
      </c>
      <c r="F70">
        <v>1000</v>
      </c>
      <c r="G70">
        <v>1000</v>
      </c>
      <c r="I70">
        <v>1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</row>
    <row r="71" spans="1:15" x14ac:dyDescent="0.35">
      <c r="A71">
        <v>2</v>
      </c>
      <c r="B71">
        <v>1000</v>
      </c>
      <c r="C71">
        <v>1000</v>
      </c>
      <c r="D71">
        <v>1000</v>
      </c>
      <c r="E71">
        <v>9</v>
      </c>
      <c r="F71">
        <v>11</v>
      </c>
      <c r="G71">
        <v>1000</v>
      </c>
      <c r="I71">
        <v>2</v>
      </c>
      <c r="J71">
        <v>0</v>
      </c>
      <c r="K71">
        <v>0</v>
      </c>
      <c r="L71">
        <v>0</v>
      </c>
      <c r="M71">
        <v>0</v>
      </c>
      <c r="N71">
        <v>1</v>
      </c>
      <c r="O71">
        <v>0</v>
      </c>
    </row>
    <row r="72" spans="1:15" x14ac:dyDescent="0.35">
      <c r="A72">
        <v>3</v>
      </c>
      <c r="B72">
        <v>1000</v>
      </c>
      <c r="C72">
        <v>1000</v>
      </c>
      <c r="D72">
        <v>1000</v>
      </c>
      <c r="E72">
        <v>5</v>
      </c>
      <c r="F72">
        <v>8</v>
      </c>
      <c r="G72">
        <v>1000</v>
      </c>
      <c r="I72">
        <v>3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</row>
    <row r="73" spans="1:15" x14ac:dyDescent="0.35">
      <c r="A73">
        <v>4</v>
      </c>
      <c r="B73">
        <v>1000</v>
      </c>
      <c r="C73">
        <v>1000</v>
      </c>
      <c r="D73">
        <v>1000</v>
      </c>
      <c r="E73">
        <v>1000</v>
      </c>
      <c r="F73">
        <v>1000</v>
      </c>
      <c r="G73">
        <v>18</v>
      </c>
      <c r="I73">
        <v>4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</row>
    <row r="74" spans="1:15" x14ac:dyDescent="0.35">
      <c r="A74">
        <v>5</v>
      </c>
      <c r="B74">
        <v>1000</v>
      </c>
      <c r="C74">
        <v>1000</v>
      </c>
      <c r="D74">
        <v>1000</v>
      </c>
      <c r="E74">
        <v>3</v>
      </c>
      <c r="F74">
        <v>1000</v>
      </c>
      <c r="G74">
        <v>15</v>
      </c>
      <c r="I74">
        <v>5</v>
      </c>
      <c r="J74">
        <v>0</v>
      </c>
      <c r="K74">
        <v>0</v>
      </c>
      <c r="L74">
        <v>0</v>
      </c>
      <c r="M74">
        <v>0</v>
      </c>
      <c r="N74">
        <v>0</v>
      </c>
      <c r="O74">
        <v>1</v>
      </c>
    </row>
    <row r="75" spans="1:15" x14ac:dyDescent="0.35">
      <c r="A75">
        <v>6</v>
      </c>
      <c r="B75">
        <v>1000</v>
      </c>
      <c r="C75">
        <v>1000</v>
      </c>
      <c r="D75">
        <v>1000</v>
      </c>
      <c r="E75">
        <v>1000</v>
      </c>
      <c r="F75">
        <v>1000</v>
      </c>
      <c r="G75">
        <v>1000</v>
      </c>
      <c r="I75">
        <v>6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</row>
    <row r="77" spans="1:15" x14ac:dyDescent="0.35">
      <c r="C77" t="s">
        <v>36</v>
      </c>
    </row>
    <row r="78" spans="1:15" x14ac:dyDescent="0.35">
      <c r="B78" t="s">
        <v>37</v>
      </c>
      <c r="C78">
        <f>K70-M71-N71</f>
        <v>0</v>
      </c>
      <c r="D78" s="1" t="s">
        <v>18</v>
      </c>
      <c r="E78">
        <v>0</v>
      </c>
    </row>
    <row r="79" spans="1:15" x14ac:dyDescent="0.35">
      <c r="B79" t="s">
        <v>38</v>
      </c>
      <c r="C79">
        <f>L70-M72-N72</f>
        <v>0</v>
      </c>
      <c r="D79" s="1" t="s">
        <v>18</v>
      </c>
      <c r="E79">
        <v>0</v>
      </c>
    </row>
    <row r="80" spans="1:15" x14ac:dyDescent="0.35">
      <c r="B80" t="s">
        <v>39</v>
      </c>
      <c r="C80">
        <f>M71+M72-O73</f>
        <v>0</v>
      </c>
      <c r="D80" s="1" t="s">
        <v>18</v>
      </c>
      <c r="E80">
        <v>0</v>
      </c>
    </row>
    <row r="81" spans="1:12" x14ac:dyDescent="0.35">
      <c r="B81" t="s">
        <v>40</v>
      </c>
      <c r="C81">
        <f>N71+N72-O74-N73</f>
        <v>0</v>
      </c>
      <c r="D81" s="1" t="s">
        <v>18</v>
      </c>
      <c r="E81">
        <v>0</v>
      </c>
    </row>
    <row r="82" spans="1:12" x14ac:dyDescent="0.35">
      <c r="B82" t="s">
        <v>41</v>
      </c>
      <c r="C82">
        <f>O73+O74</f>
        <v>1</v>
      </c>
      <c r="D82" s="1" t="s">
        <v>18</v>
      </c>
      <c r="E82">
        <v>1</v>
      </c>
    </row>
    <row r="83" spans="1:12" x14ac:dyDescent="0.35">
      <c r="B83" t="s">
        <v>42</v>
      </c>
      <c r="C83">
        <f>K70+L70</f>
        <v>1</v>
      </c>
      <c r="D83" s="1" t="s">
        <v>18</v>
      </c>
      <c r="E83">
        <v>1</v>
      </c>
    </row>
    <row r="85" spans="1:12" x14ac:dyDescent="0.35">
      <c r="B85">
        <f>mySquareFunction(2)</f>
        <v>4</v>
      </c>
    </row>
    <row r="86" spans="1:12" ht="15" thickBot="1" x14ac:dyDescent="0.4"/>
    <row r="87" spans="1:12" x14ac:dyDescent="0.35">
      <c r="A87" s="23" t="s">
        <v>43</v>
      </c>
      <c r="B87" s="23"/>
      <c r="C87" s="4">
        <f>SUMPRODUCT(E87:E94,G87:G94)</f>
        <v>8</v>
      </c>
      <c r="D87" s="2" t="s">
        <v>23</v>
      </c>
      <c r="E87" s="5">
        <v>1</v>
      </c>
      <c r="F87" s="16" t="s">
        <v>44</v>
      </c>
      <c r="G87" s="6">
        <v>1</v>
      </c>
      <c r="H87" s="2"/>
      <c r="I87" s="2"/>
      <c r="J87" s="2"/>
      <c r="K87" s="2"/>
      <c r="L87" s="2"/>
    </row>
    <row r="88" spans="1:12" x14ac:dyDescent="0.35">
      <c r="A88" s="2"/>
      <c r="B88" s="2"/>
      <c r="C88" s="2"/>
      <c r="D88" s="2"/>
      <c r="E88" s="7">
        <v>1</v>
      </c>
      <c r="F88" s="17" t="s">
        <v>45</v>
      </c>
      <c r="G88" s="9">
        <v>1</v>
      </c>
      <c r="H88" s="2"/>
      <c r="I88" s="2"/>
      <c r="J88" s="2"/>
      <c r="K88" s="2"/>
      <c r="L88" s="2"/>
    </row>
    <row r="89" spans="1:12" x14ac:dyDescent="0.35">
      <c r="A89" s="2"/>
      <c r="B89" s="2"/>
      <c r="C89" s="2"/>
      <c r="D89" s="2"/>
      <c r="E89" s="7">
        <v>1</v>
      </c>
      <c r="F89" s="17" t="s">
        <v>46</v>
      </c>
      <c r="G89" s="9">
        <v>1</v>
      </c>
      <c r="H89" s="2"/>
      <c r="I89" s="2"/>
      <c r="J89" s="2"/>
      <c r="K89" s="2"/>
      <c r="L89" s="2"/>
    </row>
    <row r="90" spans="1:12" x14ac:dyDescent="0.35">
      <c r="A90" s="2"/>
      <c r="B90" s="2"/>
      <c r="C90" s="2"/>
      <c r="D90" s="2"/>
      <c r="E90" s="7">
        <v>1</v>
      </c>
      <c r="F90" s="17" t="s">
        <v>47</v>
      </c>
      <c r="G90" s="9">
        <v>1</v>
      </c>
      <c r="H90" s="2"/>
      <c r="I90" s="2"/>
      <c r="J90" s="2"/>
      <c r="K90" s="2"/>
      <c r="L90" s="2"/>
    </row>
    <row r="91" spans="1:12" x14ac:dyDescent="0.35">
      <c r="A91" s="2"/>
      <c r="B91" s="2"/>
      <c r="C91" s="2"/>
      <c r="D91" s="2"/>
      <c r="E91" s="7">
        <v>1</v>
      </c>
      <c r="F91" s="17" t="s">
        <v>48</v>
      </c>
      <c r="G91" s="9">
        <v>1</v>
      </c>
      <c r="H91" s="2"/>
      <c r="I91" s="2"/>
      <c r="J91" s="2"/>
      <c r="K91" s="2"/>
      <c r="L91" s="2"/>
    </row>
    <row r="92" spans="1:12" x14ac:dyDescent="0.35">
      <c r="A92" s="2"/>
      <c r="B92" s="2"/>
      <c r="C92" s="2"/>
      <c r="D92" s="2"/>
      <c r="E92" s="7">
        <v>1</v>
      </c>
      <c r="F92" s="17" t="s">
        <v>49</v>
      </c>
      <c r="G92" s="9">
        <v>1</v>
      </c>
      <c r="H92" s="2"/>
      <c r="I92" s="2"/>
      <c r="J92" s="2"/>
      <c r="K92" s="2"/>
      <c r="L92" s="2"/>
    </row>
    <row r="93" spans="1:12" x14ac:dyDescent="0.35">
      <c r="A93" s="2"/>
      <c r="B93" s="2"/>
      <c r="C93" s="2"/>
      <c r="D93" s="2"/>
      <c r="E93" s="7">
        <v>1</v>
      </c>
      <c r="F93" s="17" t="s">
        <v>50</v>
      </c>
      <c r="G93" s="9">
        <v>1</v>
      </c>
      <c r="H93" s="2"/>
      <c r="I93" s="2"/>
      <c r="J93" s="2"/>
      <c r="K93" s="2"/>
      <c r="L93" s="2"/>
    </row>
    <row r="94" spans="1:12" ht="15" thickBot="1" x14ac:dyDescent="0.4">
      <c r="A94" s="2"/>
      <c r="B94" s="2"/>
      <c r="C94" s="2"/>
      <c r="D94" s="2"/>
      <c r="E94" s="10">
        <v>1</v>
      </c>
      <c r="F94" s="18" t="s">
        <v>51</v>
      </c>
      <c r="G94" s="12">
        <v>1</v>
      </c>
      <c r="H94" s="2"/>
      <c r="I94" s="2"/>
      <c r="J94" s="2"/>
      <c r="K94" s="2"/>
      <c r="L94" s="2"/>
    </row>
    <row r="95" spans="1:12" ht="15" thickBot="1" x14ac:dyDescent="0.4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</row>
    <row r="96" spans="1:12" x14ac:dyDescent="0.35">
      <c r="A96" s="2"/>
      <c r="B96" s="20" t="s">
        <v>14</v>
      </c>
      <c r="C96" s="21"/>
      <c r="D96" s="21"/>
      <c r="E96" s="21"/>
      <c r="F96" s="21"/>
      <c r="G96" s="21"/>
      <c r="H96" s="21"/>
      <c r="I96" s="21"/>
      <c r="J96" s="19" t="s">
        <v>15</v>
      </c>
      <c r="K96" s="2"/>
      <c r="L96" s="19" t="s">
        <v>16</v>
      </c>
    </row>
    <row r="97" spans="1:12" x14ac:dyDescent="0.35">
      <c r="A97" s="22" t="s">
        <v>52</v>
      </c>
      <c r="B97" s="7">
        <v>1</v>
      </c>
      <c r="C97" s="8">
        <v>1</v>
      </c>
      <c r="D97" s="8">
        <v>1</v>
      </c>
      <c r="E97" s="8">
        <v>1</v>
      </c>
      <c r="F97" s="8">
        <v>1</v>
      </c>
      <c r="G97" s="8">
        <v>1</v>
      </c>
      <c r="H97" s="8">
        <v>1</v>
      </c>
      <c r="I97" s="8">
        <v>1</v>
      </c>
      <c r="J97" s="13">
        <f t="array" ref="J97:J102">MMULT(B97:I102,G87:G94)</f>
        <v>8</v>
      </c>
      <c r="K97" s="14" t="s">
        <v>18</v>
      </c>
      <c r="L97" s="13">
        <v>1</v>
      </c>
    </row>
    <row r="98" spans="1:12" x14ac:dyDescent="0.35">
      <c r="A98" s="22"/>
      <c r="B98" s="7">
        <v>1</v>
      </c>
      <c r="C98" s="8">
        <v>1</v>
      </c>
      <c r="D98" s="8">
        <v>1</v>
      </c>
      <c r="E98" s="8">
        <v>1</v>
      </c>
      <c r="F98" s="8">
        <v>1</v>
      </c>
      <c r="G98" s="8">
        <v>1</v>
      </c>
      <c r="H98" s="8">
        <v>1</v>
      </c>
      <c r="I98" s="8">
        <v>1</v>
      </c>
      <c r="J98" s="13">
        <v>8</v>
      </c>
      <c r="K98" s="14" t="s">
        <v>18</v>
      </c>
      <c r="L98" s="13">
        <v>1</v>
      </c>
    </row>
    <row r="99" spans="1:12" x14ac:dyDescent="0.35">
      <c r="A99" s="22"/>
      <c r="B99" s="7">
        <v>1</v>
      </c>
      <c r="C99" s="8">
        <v>1</v>
      </c>
      <c r="D99" s="8">
        <v>1</v>
      </c>
      <c r="E99" s="8">
        <v>1</v>
      </c>
      <c r="F99" s="8">
        <v>1</v>
      </c>
      <c r="G99" s="8">
        <v>1</v>
      </c>
      <c r="H99" s="8">
        <v>1</v>
      </c>
      <c r="I99" s="8">
        <v>1</v>
      </c>
      <c r="J99" s="13">
        <v>8</v>
      </c>
      <c r="K99" s="14" t="s">
        <v>18</v>
      </c>
      <c r="L99" s="13">
        <v>1</v>
      </c>
    </row>
    <row r="100" spans="1:12" x14ac:dyDescent="0.35">
      <c r="A100" s="22"/>
      <c r="B100" s="7">
        <v>1</v>
      </c>
      <c r="C100" s="8">
        <v>1</v>
      </c>
      <c r="D100" s="8">
        <v>1</v>
      </c>
      <c r="E100" s="8">
        <v>1</v>
      </c>
      <c r="F100" s="8">
        <v>1</v>
      </c>
      <c r="G100" s="8">
        <v>1</v>
      </c>
      <c r="H100" s="8">
        <v>1</v>
      </c>
      <c r="I100" s="8">
        <v>1</v>
      </c>
      <c r="J100" s="13">
        <v>8</v>
      </c>
      <c r="K100" s="14" t="s">
        <v>18</v>
      </c>
      <c r="L100" s="13">
        <v>1</v>
      </c>
    </row>
    <row r="101" spans="1:12" x14ac:dyDescent="0.35">
      <c r="A101" s="22"/>
      <c r="B101" s="7">
        <v>1</v>
      </c>
      <c r="C101" s="8">
        <v>1</v>
      </c>
      <c r="D101" s="8">
        <v>1</v>
      </c>
      <c r="E101" s="8">
        <v>1</v>
      </c>
      <c r="F101" s="8">
        <v>1</v>
      </c>
      <c r="G101" s="8">
        <v>1</v>
      </c>
      <c r="H101" s="8">
        <v>1</v>
      </c>
      <c r="I101" s="8">
        <v>1</v>
      </c>
      <c r="J101" s="13">
        <v>8</v>
      </c>
      <c r="K101" s="14" t="s">
        <v>18</v>
      </c>
      <c r="L101" s="13">
        <v>1</v>
      </c>
    </row>
    <row r="102" spans="1:12" ht="15" thickBot="1" x14ac:dyDescent="0.4">
      <c r="A102" s="22"/>
      <c r="B102" s="10">
        <v>1</v>
      </c>
      <c r="C102" s="11">
        <v>1</v>
      </c>
      <c r="D102" s="11">
        <v>1</v>
      </c>
      <c r="E102" s="11">
        <v>1</v>
      </c>
      <c r="F102" s="11">
        <v>1</v>
      </c>
      <c r="G102" s="11">
        <v>1</v>
      </c>
      <c r="H102" s="11">
        <v>1</v>
      </c>
      <c r="I102" s="11">
        <v>1</v>
      </c>
      <c r="J102" s="15">
        <v>8</v>
      </c>
      <c r="K102" s="14" t="s">
        <v>18</v>
      </c>
      <c r="L102" s="15">
        <v>1</v>
      </c>
    </row>
    <row r="105" spans="1:12" x14ac:dyDescent="0.35">
      <c r="A105" t="s">
        <v>43</v>
      </c>
    </row>
  </sheetData>
  <mergeCells count="17">
    <mergeCell ref="P16:P19"/>
    <mergeCell ref="P20:P22"/>
    <mergeCell ref="B27:F27"/>
    <mergeCell ref="H27:L27"/>
    <mergeCell ref="B68:G68"/>
    <mergeCell ref="J68:O68"/>
    <mergeCell ref="B38:B40"/>
    <mergeCell ref="C46:G46"/>
    <mergeCell ref="J46:N46"/>
    <mergeCell ref="C52:G52"/>
    <mergeCell ref="J55:J58"/>
    <mergeCell ref="J59:J62"/>
    <mergeCell ref="B96:I96"/>
    <mergeCell ref="A97:A102"/>
    <mergeCell ref="A87:B87"/>
    <mergeCell ref="B34:B37"/>
    <mergeCell ref="A15:L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8321F-7720-490F-A910-52E6DE84F5F1}">
  <sheetPr codeName="Sheet2"/>
  <dimension ref="A1:R102"/>
  <sheetViews>
    <sheetView tabSelected="1" topLeftCell="A82" workbookViewId="0">
      <selection activeCell="O98" sqref="O98:R101"/>
    </sheetView>
  </sheetViews>
  <sheetFormatPr defaultRowHeight="14.5" x14ac:dyDescent="0.35"/>
  <sheetData>
    <row r="1" spans="1:1" x14ac:dyDescent="0.35">
      <c r="A1" t="s">
        <v>43</v>
      </c>
    </row>
    <row r="86" spans="1:18" ht="15" thickBot="1" x14ac:dyDescent="0.4"/>
    <row r="87" spans="1:18" x14ac:dyDescent="0.35">
      <c r="A87" s="23"/>
      <c r="B87" s="23"/>
      <c r="C87" s="4"/>
      <c r="D87" s="2"/>
      <c r="E87" s="5"/>
      <c r="F87" s="16"/>
      <c r="G87" s="6"/>
      <c r="H87" s="2"/>
      <c r="I87" s="2"/>
      <c r="J87" s="2"/>
      <c r="K87" s="2"/>
      <c r="L87" s="2">
        <v>0</v>
      </c>
      <c r="M87">
        <v>1</v>
      </c>
      <c r="N87">
        <v>1</v>
      </c>
      <c r="O87" s="3">
        <v>1</v>
      </c>
    </row>
    <row r="88" spans="1:18" x14ac:dyDescent="0.35">
      <c r="A88" s="2"/>
      <c r="B88" s="2"/>
      <c r="C88" s="2"/>
      <c r="D88" s="2"/>
      <c r="E88" s="7"/>
      <c r="F88" s="17"/>
      <c r="G88" s="9"/>
      <c r="H88" s="2"/>
      <c r="I88" s="2"/>
      <c r="J88" s="2"/>
      <c r="K88" s="2"/>
      <c r="L88" s="2">
        <v>1</v>
      </c>
      <c r="M88">
        <v>0</v>
      </c>
      <c r="N88">
        <v>1</v>
      </c>
      <c r="O88" s="3">
        <v>1</v>
      </c>
    </row>
    <row r="89" spans="1:18" x14ac:dyDescent="0.35">
      <c r="A89" s="2"/>
      <c r="B89" s="2"/>
      <c r="C89" s="2"/>
      <c r="D89" s="2"/>
      <c r="E89" s="7"/>
      <c r="F89" s="17"/>
      <c r="G89" s="9"/>
      <c r="H89" s="2"/>
      <c r="I89" s="2"/>
      <c r="J89" s="2"/>
      <c r="K89" s="2"/>
      <c r="L89" s="2">
        <v>1</v>
      </c>
      <c r="M89">
        <v>1</v>
      </c>
      <c r="N89">
        <v>0</v>
      </c>
      <c r="O89" s="3">
        <v>1</v>
      </c>
    </row>
    <row r="90" spans="1:18" x14ac:dyDescent="0.35">
      <c r="A90" s="2"/>
      <c r="B90" s="2"/>
      <c r="C90" s="2"/>
      <c r="D90" s="2"/>
      <c r="E90" s="7"/>
      <c r="F90" s="17"/>
      <c r="G90" s="9"/>
      <c r="H90" s="2"/>
      <c r="I90" s="2"/>
      <c r="J90" s="2"/>
      <c r="K90" s="2"/>
      <c r="L90" s="2">
        <v>1</v>
      </c>
      <c r="M90">
        <v>1</v>
      </c>
      <c r="N90">
        <v>1</v>
      </c>
      <c r="O90" s="3">
        <v>0</v>
      </c>
    </row>
    <row r="91" spans="1:18" x14ac:dyDescent="0.35">
      <c r="A91" s="2"/>
      <c r="B91" s="2"/>
      <c r="C91" s="2"/>
      <c r="D91" s="2"/>
      <c r="E91" s="7"/>
      <c r="F91" s="17"/>
      <c r="G91" s="9"/>
      <c r="H91" s="2"/>
      <c r="I91" s="2"/>
      <c r="J91" s="2"/>
      <c r="K91" s="2"/>
      <c r="L91" s="2"/>
    </row>
    <row r="92" spans="1:18" x14ac:dyDescent="0.35">
      <c r="A92" s="2"/>
      <c r="B92" s="2"/>
      <c r="C92" s="2"/>
      <c r="D92" s="2"/>
      <c r="E92" s="7"/>
      <c r="F92" s="17"/>
      <c r="G92" s="9"/>
      <c r="H92" s="2"/>
      <c r="I92" s="2"/>
      <c r="J92" s="2"/>
      <c r="K92" s="2"/>
      <c r="L92" s="2"/>
      <c r="O92">
        <f t="array" ref="O92:R95">MMULT(L87:O90,L87:O90)</f>
        <v>3</v>
      </c>
      <c r="P92">
        <v>2</v>
      </c>
      <c r="Q92">
        <v>2</v>
      </c>
      <c r="R92">
        <v>2</v>
      </c>
    </row>
    <row r="93" spans="1:18" x14ac:dyDescent="0.35">
      <c r="A93" s="2"/>
      <c r="B93" s="2"/>
      <c r="C93" s="2"/>
      <c r="D93" s="2"/>
      <c r="E93" s="7"/>
      <c r="F93" s="17"/>
      <c r="G93" s="9"/>
      <c r="H93" s="2"/>
      <c r="I93" s="2"/>
      <c r="J93" s="2"/>
      <c r="K93" s="2"/>
      <c r="L93" s="2"/>
      <c r="O93">
        <v>2</v>
      </c>
      <c r="P93">
        <v>3</v>
      </c>
      <c r="Q93">
        <v>2</v>
      </c>
      <c r="R93">
        <v>2</v>
      </c>
    </row>
    <row r="94" spans="1:18" ht="15" thickBot="1" x14ac:dyDescent="0.4">
      <c r="A94" s="2"/>
      <c r="B94" s="2"/>
      <c r="C94" s="2"/>
      <c r="D94" s="2"/>
      <c r="E94" s="10"/>
      <c r="F94" s="18"/>
      <c r="G94" s="12"/>
      <c r="H94" s="2"/>
      <c r="I94" s="2"/>
      <c r="J94" s="2"/>
      <c r="K94" s="2"/>
      <c r="L94" s="2"/>
      <c r="O94">
        <v>2</v>
      </c>
      <c r="P94">
        <v>2</v>
      </c>
      <c r="Q94">
        <v>3</v>
      </c>
      <c r="R94">
        <v>2</v>
      </c>
    </row>
    <row r="95" spans="1:18" ht="15" thickBot="1" x14ac:dyDescent="0.4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O95">
        <v>2</v>
      </c>
      <c r="P95">
        <v>2</v>
      </c>
      <c r="Q95">
        <v>2</v>
      </c>
      <c r="R95">
        <v>3</v>
      </c>
    </row>
    <row r="96" spans="1:18" x14ac:dyDescent="0.35">
      <c r="A96" s="2"/>
      <c r="B96" s="20"/>
      <c r="C96" s="21"/>
      <c r="D96" s="21"/>
      <c r="E96" s="21"/>
      <c r="F96" s="21"/>
      <c r="G96" s="21"/>
      <c r="H96" s="21"/>
      <c r="I96" s="21"/>
      <c r="J96" s="19"/>
      <c r="K96" s="2"/>
      <c r="L96" s="19"/>
    </row>
    <row r="97" spans="1:18" x14ac:dyDescent="0.35">
      <c r="A97" s="26"/>
      <c r="B97" s="7"/>
      <c r="C97" s="8"/>
      <c r="D97" s="8"/>
      <c r="E97" s="8"/>
      <c r="F97" s="8"/>
      <c r="G97" s="8"/>
      <c r="H97" s="8"/>
      <c r="I97" s="8"/>
      <c r="J97" s="13"/>
      <c r="K97" s="14"/>
      <c r="L97" s="13"/>
    </row>
    <row r="98" spans="1:18" x14ac:dyDescent="0.35">
      <c r="A98" s="26"/>
      <c r="B98" s="7"/>
      <c r="C98" s="8"/>
      <c r="D98" s="8"/>
      <c r="E98" s="8"/>
      <c r="F98" s="8"/>
      <c r="G98" s="8"/>
      <c r="H98" s="8"/>
      <c r="I98" s="8"/>
      <c r="J98" s="13"/>
      <c r="K98" s="14"/>
      <c r="L98" s="13"/>
      <c r="O98">
        <f t="array" ref="O98:R101">MMULT(O92:R95,L87:O90)</f>
        <v>6</v>
      </c>
      <c r="P98">
        <v>7</v>
      </c>
      <c r="Q98">
        <v>7</v>
      </c>
      <c r="R98">
        <v>7</v>
      </c>
    </row>
    <row r="99" spans="1:18" x14ac:dyDescent="0.35">
      <c r="A99" s="26"/>
      <c r="B99" s="7"/>
      <c r="C99" s="8"/>
      <c r="D99" s="8"/>
      <c r="E99" s="8"/>
      <c r="F99" s="8"/>
      <c r="G99" s="8"/>
      <c r="H99" s="8"/>
      <c r="I99" s="8"/>
      <c r="J99" s="13"/>
      <c r="K99" s="14"/>
      <c r="L99" s="13"/>
      <c r="O99">
        <v>7</v>
      </c>
      <c r="P99">
        <v>6</v>
      </c>
      <c r="Q99">
        <v>7</v>
      </c>
      <c r="R99">
        <v>7</v>
      </c>
    </row>
    <row r="100" spans="1:18" x14ac:dyDescent="0.35">
      <c r="A100" s="26"/>
      <c r="B100" s="7"/>
      <c r="C100" s="8"/>
      <c r="D100" s="8"/>
      <c r="E100" s="8"/>
      <c r="F100" s="8"/>
      <c r="G100" s="8"/>
      <c r="H100" s="8"/>
      <c r="I100" s="8"/>
      <c r="J100" s="13"/>
      <c r="K100" s="14"/>
      <c r="L100" s="13"/>
      <c r="O100">
        <v>7</v>
      </c>
      <c r="P100">
        <v>7</v>
      </c>
      <c r="Q100">
        <v>6</v>
      </c>
      <c r="R100">
        <v>7</v>
      </c>
    </row>
    <row r="101" spans="1:18" x14ac:dyDescent="0.35">
      <c r="A101" s="26"/>
      <c r="B101" s="7"/>
      <c r="C101" s="8"/>
      <c r="D101" s="8"/>
      <c r="E101" s="8"/>
      <c r="F101" s="8"/>
      <c r="G101" s="8"/>
      <c r="H101" s="8"/>
      <c r="I101" s="8"/>
      <c r="J101" s="13"/>
      <c r="K101" s="14"/>
      <c r="L101" s="13"/>
      <c r="O101">
        <v>7</v>
      </c>
      <c r="P101">
        <v>7</v>
      </c>
      <c r="Q101">
        <v>7</v>
      </c>
      <c r="R101">
        <v>6</v>
      </c>
    </row>
    <row r="102" spans="1:18" ht="15" thickBot="1" x14ac:dyDescent="0.4">
      <c r="A102" s="26"/>
      <c r="B102" s="10"/>
      <c r="C102" s="11"/>
      <c r="D102" s="11"/>
      <c r="E102" s="11"/>
      <c r="F102" s="11"/>
      <c r="G102" s="11"/>
      <c r="H102" s="11"/>
      <c r="I102" s="11"/>
      <c r="J102" s="15"/>
      <c r="K102" s="14"/>
      <c r="L102" s="15"/>
    </row>
  </sheetData>
  <mergeCells count="3">
    <mergeCell ref="B96:I96"/>
    <mergeCell ref="A97:A102"/>
    <mergeCell ref="A87:B8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</dc:creator>
  <cp:lastModifiedBy>Philip</cp:lastModifiedBy>
  <dcterms:created xsi:type="dcterms:W3CDTF">2019-04-22T15:59:46Z</dcterms:created>
  <dcterms:modified xsi:type="dcterms:W3CDTF">2019-04-27T06:00:18Z</dcterms:modified>
</cp:coreProperties>
</file>